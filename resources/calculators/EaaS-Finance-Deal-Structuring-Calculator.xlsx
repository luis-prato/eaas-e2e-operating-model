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nancing Mode" sheetId="2" state="visible" r:id="rId2"/>
    <sheet xmlns:r="http://schemas.openxmlformats.org/officeDocument/2006/relationships" name="Refinancing Structure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P&amp;L Projection" sheetId="5" state="visible" r:id="rId5"/>
    <sheet xmlns:r="http://schemas.openxmlformats.org/officeDocument/2006/relationships" name="10-Year Capac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999999"/>
      <sz val="11"/>
    </font>
    <font>
      <name val="Calibri"/>
      <b val="1"/>
      <color rgb="00FFFFFF"/>
      <sz val="10"/>
    </font>
    <font>
      <name val="Calibri"/>
      <color rgb="0000FB92"/>
      <sz val="10"/>
    </font>
    <font>
      <name val="Calibri"/>
      <color rgb="00666666"/>
      <sz val="9"/>
    </font>
    <font>
      <name val="Calibri"/>
      <b val="1"/>
      <color rgb="00FFFFFF"/>
      <sz val="14"/>
    </font>
    <font>
      <name val="Calibri"/>
      <b val="1"/>
      <color rgb="00111111"/>
      <sz val="10"/>
    </font>
    <font>
      <name val="Calibri"/>
      <color rgb="00111111"/>
      <sz val="10"/>
    </font>
    <font>
      <name val="Calibri"/>
      <b val="1"/>
      <color rgb="00111111"/>
      <sz val="11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00FB92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2" fontId="3" fillId="2" borderId="0" applyAlignment="1" pivotButton="0" quotePrefix="0" xfId="0">
      <alignment horizontal="center" vertical="center" wrapText="1"/>
    </xf>
    <xf numFmtId="9" fontId="3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0" fillId="2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7" fillId="3" borderId="0" applyAlignment="1" pivotButton="0" quotePrefix="0" xfId="0">
      <alignment horizontal="center" vertical="center" wrapText="1"/>
    </xf>
    <xf numFmtId="164" fontId="7" fillId="3" borderId="0" applyAlignment="1" pivotButton="0" quotePrefix="0" xfId="0">
      <alignment horizontal="center" vertical="center" wrapText="1"/>
    </xf>
    <xf numFmtId="9" fontId="7" fillId="3" borderId="0" applyAlignment="1" pivotButton="0" quotePrefix="0" xfId="0">
      <alignment horizontal="center" vertical="center" wrapText="1"/>
    </xf>
    <xf numFmtId="2" fontId="7" fillId="3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3" fontId="7" fillId="3" borderId="1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11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60" customHeight="1">
      <c r="A1" s="1" t="inlineStr">
        <is>
          <t>EaaS FINANCE DEAL STRUCTURING CALCULATOR</t>
        </is>
      </c>
    </row>
    <row r="2" ht="25" customHeight="1">
      <c r="A2" s="2" t="inlineStr">
        <is>
          <t>Equipment-as-a-Service  |  Financing Architecture  |  Balance Sheet Impact</t>
        </is>
      </c>
    </row>
    <row r="3" ht="6" customHeight="1">
      <c r="A3" s="3" t="n"/>
      <c r="B3" s="4" t="n"/>
      <c r="C3" s="4" t="n"/>
      <c r="D3" s="4" t="n"/>
      <c r="E3" s="4" t="n"/>
      <c r="F3" s="4" t="n"/>
      <c r="G3" s="4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 ht="20" customHeight="1">
      <c r="A5" s="3" t="n"/>
      <c r="B5" s="5" t="inlineStr">
        <is>
          <t>Company Name:</t>
        </is>
      </c>
      <c r="C5" s="3" t="n"/>
      <c r="D5" s="6" t="inlineStr"/>
      <c r="E5" s="3" t="n"/>
      <c r="F5" s="3" t="n"/>
      <c r="G5" s="3" t="n"/>
      <c r="H5" s="3" t="n"/>
    </row>
    <row r="6" ht="20" customHeight="1">
      <c r="A6" s="3" t="n"/>
      <c r="B6" s="5" t="inlineStr">
        <is>
          <t>Equipment Type:</t>
        </is>
      </c>
      <c r="C6" s="3" t="n"/>
      <c r="D6" s="6" t="inlineStr"/>
      <c r="E6" s="3" t="n"/>
      <c r="F6" s="3" t="n"/>
      <c r="G6" s="3" t="n"/>
      <c r="H6" s="3" t="n"/>
    </row>
    <row r="7" ht="20" customHeight="1">
      <c r="A7" s="3" t="n"/>
      <c r="B7" s="5" t="inlineStr">
        <is>
          <t>Fleet Size (units):</t>
        </is>
      </c>
      <c r="C7" s="3" t="n"/>
      <c r="D7" s="6" t="inlineStr">
        <is>
          <t>50</t>
        </is>
      </c>
      <c r="E7" s="3" t="n"/>
      <c r="F7" s="3" t="n"/>
      <c r="G7" s="3" t="n"/>
      <c r="H7" s="3" t="n"/>
    </row>
    <row r="8" ht="20" customHeight="1">
      <c r="A8" s="3" t="n"/>
      <c r="B8" s="5" t="inlineStr">
        <is>
          <t>Unit Cost (€):</t>
        </is>
      </c>
      <c r="C8" s="3" t="n"/>
      <c r="D8" s="6" t="inlineStr">
        <is>
          <t>25,000</t>
        </is>
      </c>
      <c r="E8" s="3" t="n"/>
      <c r="F8" s="3" t="n"/>
      <c r="G8" s="3" t="n"/>
      <c r="H8" s="3" t="n"/>
    </row>
    <row r="9" ht="20" customHeight="1">
      <c r="A9" s="3" t="n"/>
      <c r="B9" s="5" t="inlineStr">
        <is>
          <t>Analysis Year Start:</t>
        </is>
      </c>
      <c r="C9" s="3" t="n"/>
      <c r="D9" s="6" t="inlineStr">
        <is>
          <t>2024</t>
        </is>
      </c>
      <c r="E9" s="3" t="n"/>
      <c r="F9" s="3" t="n"/>
      <c r="G9" s="3" t="n"/>
      <c r="H9" s="3" t="n"/>
    </row>
    <row r="10" ht="20" customHeight="1">
      <c r="A10" s="3" t="n"/>
      <c r="B10" s="5" t="inlineStr">
        <is>
          <t>Prepared by:</t>
        </is>
      </c>
      <c r="C10" s="3" t="n"/>
      <c r="D10" s="6" t="inlineStr">
        <is>
          <t>@PRATOLUIS</t>
        </is>
      </c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20" customHeight="1">
      <c r="A13" s="7" t="inlineStr">
        <is>
          <t>TABS:  Financing Mode  |  Refinancing Structure  |  Balance Sheet  |  P&amp;L Projection  |  10-Year Capacity</t>
        </is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6" customWidth="1" min="7" max="7"/>
    <col width="5" customWidth="1" min="8" max="8"/>
  </cols>
  <sheetData>
    <row r="1" ht="35" customHeight="1">
      <c r="A1" s="8" t="inlineStr">
        <is>
          <t>FINANCING MODE SELECTION</t>
        </is>
      </c>
    </row>
    <row r="2" ht="5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 ht="18" customHeight="1">
      <c r="A3" s="9" t="inlineStr">
        <is>
          <t>SCORING MATRIX — Select Your EaaS Model Fit (scores 1–5)</t>
        </is>
      </c>
    </row>
    <row r="4" ht="22" customHeight="1">
      <c r="A4" s="10" t="inlineStr">
        <is>
          <t>Criterion</t>
        </is>
      </c>
      <c r="B4" s="10" t="inlineStr">
        <is>
          <t>Purchase</t>
        </is>
      </c>
      <c r="C4" s="10" t="inlineStr">
        <is>
          <t>Financing</t>
        </is>
      </c>
      <c r="D4" s="10" t="inlineStr">
        <is>
          <t>Leasing</t>
        </is>
      </c>
      <c r="E4" s="10" t="inlineStr">
        <is>
          <t>Outsourcing</t>
        </is>
      </c>
      <c r="F4" s="10" t="inlineStr">
        <is>
          <t>AaaS</t>
        </is>
      </c>
      <c r="G4" s="10" t="inlineStr">
        <is>
          <t>Your Weight</t>
        </is>
      </c>
      <c r="H4" s="10" t="inlineStr"/>
    </row>
    <row r="5">
      <c r="A5" s="11" t="inlineStr">
        <is>
          <t>Customer CAPEX sensitivity</t>
        </is>
      </c>
      <c r="B5" s="12" t="n">
        <v>1</v>
      </c>
      <c r="C5" s="12" t="n">
        <v>3</v>
      </c>
      <c r="D5" s="12" t="n">
        <v>4</v>
      </c>
      <c r="E5" s="12" t="n">
        <v>5</v>
      </c>
      <c r="F5" s="13" t="n">
        <v>5</v>
      </c>
      <c r="G5" s="14" t="n">
        <v>0.25</v>
      </c>
      <c r="H5" s="12" t="inlineStr"/>
    </row>
    <row r="6">
      <c r="A6" s="15" t="inlineStr">
        <is>
          <t>Provider balance sheet strength</t>
        </is>
      </c>
      <c r="B6" s="16" t="n">
        <v>5</v>
      </c>
      <c r="C6" s="16" t="n">
        <v>4</v>
      </c>
      <c r="D6" s="16" t="n">
        <v>3</v>
      </c>
      <c r="E6" s="16" t="n">
        <v>2</v>
      </c>
      <c r="F6" s="13" t="n">
        <v>2</v>
      </c>
      <c r="G6" s="17" t="n">
        <v>0.2</v>
      </c>
      <c r="H6" s="16" t="inlineStr"/>
    </row>
    <row r="7">
      <c r="A7" s="11" t="inlineStr">
        <is>
          <t>IoT / performance data readiness</t>
        </is>
      </c>
      <c r="B7" s="12" t="n">
        <v>1</v>
      </c>
      <c r="C7" s="12" t="n">
        <v>1</v>
      </c>
      <c r="D7" s="12" t="n">
        <v>2</v>
      </c>
      <c r="E7" s="12" t="n">
        <v>3</v>
      </c>
      <c r="F7" s="13" t="n">
        <v>5</v>
      </c>
      <c r="G7" s="14" t="n">
        <v>0.2</v>
      </c>
      <c r="H7" s="12" t="inlineStr"/>
    </row>
    <row r="8">
      <c r="A8" s="15" t="inlineStr">
        <is>
          <t>Recurring revenue goal</t>
        </is>
      </c>
      <c r="B8" s="16" t="n">
        <v>1</v>
      </c>
      <c r="C8" s="16" t="n">
        <v>2</v>
      </c>
      <c r="D8" s="16" t="n">
        <v>3</v>
      </c>
      <c r="E8" s="16" t="n">
        <v>4</v>
      </c>
      <c r="F8" s="13" t="n">
        <v>5</v>
      </c>
      <c r="G8" s="17" t="n">
        <v>0.15</v>
      </c>
      <c r="H8" s="16" t="inlineStr"/>
    </row>
    <row r="9">
      <c r="A9" s="11" t="inlineStr">
        <is>
          <t>Speed to market</t>
        </is>
      </c>
      <c r="B9" s="12" t="n">
        <v>5</v>
      </c>
      <c r="C9" s="12" t="n">
        <v>4</v>
      </c>
      <c r="D9" s="12" t="n">
        <v>3</v>
      </c>
      <c r="E9" s="12" t="n">
        <v>2</v>
      </c>
      <c r="F9" s="13" t="n">
        <v>1</v>
      </c>
      <c r="G9" s="14" t="n">
        <v>0.1</v>
      </c>
      <c r="H9" s="12" t="inlineStr"/>
    </row>
    <row r="10">
      <c r="A10" s="15" t="inlineStr">
        <is>
          <t>Risk transfer to provider</t>
        </is>
      </c>
      <c r="B10" s="16" t="n">
        <v>1</v>
      </c>
      <c r="C10" s="16" t="n">
        <v>2</v>
      </c>
      <c r="D10" s="16" t="n">
        <v>3</v>
      </c>
      <c r="E10" s="16" t="n">
        <v>4</v>
      </c>
      <c r="F10" s="13" t="n">
        <v>5</v>
      </c>
      <c r="G10" s="17" t="n">
        <v>0.1</v>
      </c>
      <c r="H10" s="16" t="inlineStr"/>
    </row>
    <row r="11">
      <c r="A11" s="10" t="inlineStr">
        <is>
          <t>WEIGHTED SCORE (weights × AaaS scores)</t>
        </is>
      </c>
      <c r="B11" s="10" t="inlineStr"/>
      <c r="C11" s="10" t="inlineStr"/>
      <c r="D11" s="10" t="inlineStr"/>
      <c r="E11" s="10" t="inlineStr"/>
      <c r="F11" s="18">
        <f>SUMPRODUCT(F5:F10,G5:G10)</f>
        <v/>
      </c>
      <c r="G11" s="19" t="inlineStr">
        <is>
          <t>100%</t>
        </is>
      </c>
      <c r="H11" s="10" t="inlineStr"/>
    </row>
    <row r="13">
      <c r="A13" s="9" t="inlineStr">
        <is>
          <t>MODE COMPARISON</t>
        </is>
      </c>
    </row>
    <row r="14" ht="22" customHeight="1">
      <c r="A14" s="10" t="inlineStr">
        <is>
          <t>Mode</t>
        </is>
      </c>
      <c r="B14" s="10" t="inlineStr">
        <is>
          <t>Asset Owner</t>
        </is>
      </c>
      <c r="C14" s="10" t="inlineStr">
        <is>
          <t>CAPEX Bearer</t>
        </is>
      </c>
      <c r="D14" s="10" t="inlineStr">
        <is>
          <t>Revenue Type</t>
        </is>
      </c>
      <c r="E14" s="10" t="inlineStr">
        <is>
          <t>Customer off-BS?</t>
        </is>
      </c>
      <c r="F14" s="10" t="inlineStr">
        <is>
          <t>Provider off-BS?</t>
        </is>
      </c>
      <c r="G14" s="10" t="inlineStr">
        <is>
          <t>IoT Required?</t>
        </is>
      </c>
      <c r="H14" s="10" t="inlineStr"/>
    </row>
    <row r="15">
      <c r="A15" s="11" t="inlineStr">
        <is>
          <t>Purchase</t>
        </is>
      </c>
      <c r="B15" s="12" t="inlineStr">
        <is>
          <t>Customer</t>
        </is>
      </c>
      <c r="C15" s="12" t="inlineStr">
        <is>
          <t>Customer</t>
        </is>
      </c>
      <c r="D15" s="12" t="inlineStr">
        <is>
          <t>One-time sale</t>
        </is>
      </c>
      <c r="E15" s="12" t="inlineStr">
        <is>
          <t>No</t>
        </is>
      </c>
      <c r="F15" s="12" t="inlineStr">
        <is>
          <t>No</t>
        </is>
      </c>
      <c r="G15" s="12" t="inlineStr">
        <is>
          <t>No</t>
        </is>
      </c>
      <c r="H15" s="12" t="inlineStr"/>
    </row>
    <row r="16">
      <c r="A16" s="15" t="inlineStr">
        <is>
          <t>Financing</t>
        </is>
      </c>
      <c r="B16" s="16" t="inlineStr">
        <is>
          <t>Customer (deferred)</t>
        </is>
      </c>
      <c r="C16" s="16" t="inlineStr">
        <is>
          <t>Split bank+cust</t>
        </is>
      </c>
      <c r="D16" s="16" t="inlineStr">
        <is>
          <t>Installments + interest</t>
        </is>
      </c>
      <c r="E16" s="16" t="inlineStr">
        <is>
          <t>No</t>
        </is>
      </c>
      <c r="F16" s="16" t="inlineStr">
        <is>
          <t>No</t>
        </is>
      </c>
      <c r="G16" s="16" t="inlineStr">
        <is>
          <t>No</t>
        </is>
      </c>
      <c r="H16" s="16" t="inlineStr"/>
    </row>
    <row r="17">
      <c r="A17" s="11" t="inlineStr">
        <is>
          <t>Leasing</t>
        </is>
      </c>
      <c r="B17" s="12" t="inlineStr">
        <is>
          <t>Provider / Lessor</t>
        </is>
      </c>
      <c r="C17" s="12" t="inlineStr">
        <is>
          <t>Provider / Bank</t>
        </is>
      </c>
      <c r="D17" s="12" t="inlineStr">
        <is>
          <t>Periodic lease payments</t>
        </is>
      </c>
      <c r="E17" s="12" t="inlineStr">
        <is>
          <t>Yes</t>
        </is>
      </c>
      <c r="F17" s="12" t="inlineStr">
        <is>
          <t>No</t>
        </is>
      </c>
      <c r="G17" s="12" t="inlineStr">
        <is>
          <t>Optional</t>
        </is>
      </c>
      <c r="H17" s="12" t="inlineStr"/>
    </row>
    <row r="18">
      <c r="A18" s="15" t="inlineStr">
        <is>
          <t>Outsourcing</t>
        </is>
      </c>
      <c r="B18" s="16" t="inlineStr">
        <is>
          <t>Provider</t>
        </is>
      </c>
      <c r="C18" s="16" t="inlineStr">
        <is>
          <t>Provider</t>
        </is>
      </c>
      <c r="D18" s="16" t="inlineStr">
        <is>
          <t>Service fee</t>
        </is>
      </c>
      <c r="E18" s="16" t="inlineStr">
        <is>
          <t>Yes</t>
        </is>
      </c>
      <c r="F18" s="16" t="inlineStr">
        <is>
          <t>No</t>
        </is>
      </c>
      <c r="G18" s="16" t="inlineStr">
        <is>
          <t>Moderate</t>
        </is>
      </c>
      <c r="H18" s="16" t="inlineStr"/>
    </row>
    <row r="19">
      <c r="A19" s="20" t="inlineStr">
        <is>
          <t>AaaS</t>
        </is>
      </c>
      <c r="B19" s="21" t="inlineStr">
        <is>
          <t>Provider / SPV</t>
        </is>
      </c>
      <c r="C19" s="21" t="inlineStr">
        <is>
          <t>Provider + Bank</t>
        </is>
      </c>
      <c r="D19" s="21" t="inlineStr">
        <is>
          <t>Usage / performance fee</t>
        </is>
      </c>
      <c r="E19" s="21" t="inlineStr">
        <is>
          <t>Yes</t>
        </is>
      </c>
      <c r="F19" s="21" t="inlineStr">
        <is>
          <t>Yes</t>
        </is>
      </c>
      <c r="G19" s="21" t="inlineStr">
        <is>
          <t>Required</t>
        </is>
      </c>
      <c r="H19" s="21" t="inlineStr"/>
    </row>
    <row r="21" ht="5" customHeight="1"/>
    <row r="22">
      <c r="A22" s="22" t="inlineStr">
        <is>
          <t>► YOUR SELECTION — enter below</t>
        </is>
      </c>
    </row>
    <row r="23">
      <c r="A23" s="23" t="inlineStr">
        <is>
          <t>Selected Mode:</t>
        </is>
      </c>
      <c r="B23" s="24" t="inlineStr">
        <is>
          <t>AaaS</t>
        </is>
      </c>
    </row>
    <row r="24">
      <c r="A24" s="23" t="inlineStr">
        <is>
          <t>Rationale:</t>
        </is>
      </c>
      <c r="B24" s="25" t="inlineStr">
        <is>
          <t>Enter rationale here</t>
        </is>
      </c>
    </row>
  </sheetData>
  <mergeCells count="2">
    <mergeCell ref="A1:I1"/>
    <mergeCell ref="A22:G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2" customWidth="1" min="4" max="4"/>
    <col width="30" customWidth="1" min="5" max="5"/>
    <col width="5" customWidth="1" min="6" max="6"/>
    <col width="5" customWidth="1" min="7" max="7"/>
  </cols>
  <sheetData>
    <row r="1" ht="35" customHeight="1">
      <c r="A1" s="8" t="inlineStr">
        <is>
          <t>AaaS REFINANCING STRUCTURE &amp; DEAL SIZING</t>
        </is>
      </c>
    </row>
    <row r="2" ht="5" customHeight="1">
      <c r="A2" s="4" t="n"/>
      <c r="B2" s="4" t="n"/>
      <c r="C2" s="4" t="n"/>
      <c r="D2" s="4" t="n"/>
      <c r="E2" s="4" t="n"/>
      <c r="F2" s="4" t="n"/>
      <c r="G2" s="4" t="n"/>
    </row>
    <row r="3" ht="22" customHeight="1">
      <c r="A3" s="26" t="inlineStr">
        <is>
          <t>DEAL INPUTS</t>
        </is>
      </c>
    </row>
    <row r="5">
      <c r="A5" s="22" t="inlineStr">
        <is>
          <t>Equipment units to deploy</t>
        </is>
      </c>
      <c r="B5" s="27" t="n">
        <v>50</v>
      </c>
      <c r="C5" s="28" t="inlineStr">
        <is>
          <t>units</t>
        </is>
      </c>
    </row>
    <row r="6">
      <c r="A6" s="29" t="inlineStr">
        <is>
          <t>Cost per unit (€)</t>
        </is>
      </c>
      <c r="B6" s="30" t="n">
        <v>25000</v>
      </c>
      <c r="C6" s="28" t="inlineStr">
        <is>
          <t>€</t>
        </is>
      </c>
    </row>
    <row r="7">
      <c r="A7" s="22" t="inlineStr">
        <is>
          <t>Total asset value (€)</t>
        </is>
      </c>
      <c r="B7" s="30" t="n">
        <v>1250000</v>
      </c>
      <c r="C7" s="28" t="inlineStr">
        <is>
          <t>€  [=units × cost]</t>
        </is>
      </c>
    </row>
    <row r="8">
      <c r="A8" s="29" t="inlineStr">
        <is>
          <t>Contract term (years)</t>
        </is>
      </c>
      <c r="B8" s="27" t="n">
        <v>7</v>
      </c>
      <c r="C8" s="28" t="inlineStr">
        <is>
          <t>years</t>
        </is>
      </c>
    </row>
    <row r="9">
      <c r="A9" s="22" t="inlineStr">
        <is>
          <t>Monthly usage fee per unit (€)</t>
        </is>
      </c>
      <c r="B9" s="30" t="n">
        <v>850</v>
      </c>
      <c r="C9" s="28" t="inlineStr">
        <is>
          <t>€/unit/month</t>
        </is>
      </c>
    </row>
    <row r="10">
      <c r="A10" s="29" t="inlineStr">
        <is>
          <t>Annual revenue Year 1 (€)</t>
        </is>
      </c>
      <c r="B10" s="30" t="n">
        <v>510000</v>
      </c>
      <c r="C10" s="28" t="inlineStr">
        <is>
          <t>€  [=units × fee × 12]</t>
        </is>
      </c>
    </row>
    <row r="11">
      <c r="A11" s="22" t="inlineStr">
        <is>
          <t>Service cost ratio</t>
        </is>
      </c>
      <c r="B11" s="31" t="n">
        <v>0.35</v>
      </c>
      <c r="C11" s="28" t="inlineStr">
        <is>
          <t>% of revenue</t>
        </is>
      </c>
    </row>
    <row r="12">
      <c r="A12" s="29" t="inlineStr">
        <is>
          <t>Annual service cost (€)</t>
        </is>
      </c>
      <c r="B12" s="30" t="n">
        <v>178500</v>
      </c>
      <c r="C12" s="28" t="inlineStr">
        <is>
          <t>€  [=revenue × cost ratio]</t>
        </is>
      </c>
    </row>
    <row r="13">
      <c r="A13" s="22" t="inlineStr">
        <is>
          <t>EBITDA margin (pre-financing)</t>
        </is>
      </c>
      <c r="B13" s="31" t="n">
        <v>0.65</v>
      </c>
      <c r="C13" s="28" t="inlineStr">
        <is>
          <t>% [=1 – service cost ratio]</t>
        </is>
      </c>
    </row>
    <row r="14">
      <c r="A14" s="29" t="inlineStr">
        <is>
          <t>WACC / discount rate</t>
        </is>
      </c>
      <c r="B14" s="31" t="n">
        <v>0.08</v>
      </c>
      <c r="C14" s="28" t="inlineStr">
        <is>
          <t>%</t>
        </is>
      </c>
    </row>
    <row r="16" ht="8" customHeight="1"/>
    <row r="17" ht="22" customHeight="1">
      <c r="A17" s="26" t="inlineStr">
        <is>
          <t>REFINANCING OPTION COMPARISON</t>
        </is>
      </c>
    </row>
    <row r="18" ht="30" customHeight="1">
      <c r="A18" s="10" t="inlineStr">
        <is>
          <t>Factor</t>
        </is>
      </c>
      <c r="B18" s="10" t="inlineStr">
        <is>
          <t>Option A
Manufacturer Loan</t>
        </is>
      </c>
      <c r="C18" s="10" t="inlineStr">
        <is>
          <t>Option B
Pay-per-use Credit</t>
        </is>
      </c>
      <c r="D18" s="10" t="inlineStr">
        <is>
          <t>Option C
SPV Structure</t>
        </is>
      </c>
      <c r="E18" s="10" t="inlineStr">
        <is>
          <t>Notes</t>
        </is>
      </c>
      <c r="F18" s="10" t="inlineStr"/>
      <c r="G18" s="10" t="inlineStr"/>
    </row>
    <row r="19">
      <c r="A19" s="11" t="inlineStr">
        <is>
          <t>Provider balance sheet strength needed</t>
        </is>
      </c>
      <c r="B19" s="12" t="inlineStr">
        <is>
          <t>High</t>
        </is>
      </c>
      <c r="C19" s="12" t="inlineStr">
        <is>
          <t>Low</t>
        </is>
      </c>
      <c r="D19" s="12" t="inlineStr">
        <is>
          <t>Low</t>
        </is>
      </c>
      <c r="E19" s="11" t="inlineStr"/>
      <c r="F19" s="12" t="inlineStr"/>
      <c r="G19" s="12" t="inlineStr"/>
    </row>
    <row r="20">
      <c r="A20" s="15" t="inlineStr">
        <is>
          <t>Asset off-balance sheet (provider)</t>
        </is>
      </c>
      <c r="B20" s="16" t="inlineStr">
        <is>
          <t>No</t>
        </is>
      </c>
      <c r="C20" s="16" t="inlineStr">
        <is>
          <t>Yes</t>
        </is>
      </c>
      <c r="D20" s="16" t="inlineStr">
        <is>
          <t>Yes</t>
        </is>
      </c>
      <c r="E20" s="15" t="inlineStr">
        <is>
          <t>SPV &amp; Option B give dual off-BS</t>
        </is>
      </c>
      <c r="F20" s="16" t="inlineStr"/>
      <c r="G20" s="16" t="inlineStr"/>
    </row>
    <row r="21">
      <c r="A21" s="11" t="inlineStr">
        <is>
          <t>Asset off-balance sheet (customer)</t>
        </is>
      </c>
      <c r="B21" s="12" t="inlineStr">
        <is>
          <t>No</t>
        </is>
      </c>
      <c r="C21" s="12" t="inlineStr">
        <is>
          <t>Yes</t>
        </is>
      </c>
      <c r="D21" s="12" t="inlineStr">
        <is>
          <t>Yes</t>
        </is>
      </c>
      <c r="E21" s="11" t="inlineStr"/>
      <c r="F21" s="12" t="inlineStr"/>
      <c r="G21" s="12" t="inlineStr"/>
    </row>
    <row r="22">
      <c r="A22" s="15" t="inlineStr">
        <is>
          <t>IoT data maturity required</t>
        </is>
      </c>
      <c r="B22" s="16" t="inlineStr">
        <is>
          <t>Moderate</t>
        </is>
      </c>
      <c r="C22" s="16" t="inlineStr">
        <is>
          <t>High</t>
        </is>
      </c>
      <c r="D22" s="16" t="inlineStr">
        <is>
          <t>High</t>
        </is>
      </c>
      <c r="E22" s="15" t="inlineStr">
        <is>
          <t>Min 12 mo of history for bank</t>
        </is>
      </c>
      <c r="F22" s="16" t="inlineStr"/>
      <c r="G22" s="16" t="inlineStr"/>
    </row>
    <row r="23">
      <c r="A23" s="11" t="inlineStr">
        <is>
          <t>Speed to execute</t>
        </is>
      </c>
      <c r="B23" s="12" t="inlineStr">
        <is>
          <t>Fast</t>
        </is>
      </c>
      <c r="C23" s="12" t="inlineStr">
        <is>
          <t>Moderate</t>
        </is>
      </c>
      <c r="D23" s="12" t="inlineStr">
        <is>
          <t>Slow</t>
        </is>
      </c>
      <c r="E23" s="11" t="inlineStr">
        <is>
          <t>SPV takes 6–18 months to structure</t>
        </is>
      </c>
      <c r="F23" s="12" t="inlineStr"/>
      <c r="G23" s="12" t="inlineStr"/>
    </row>
    <row r="24">
      <c r="A24" s="15" t="inlineStr">
        <is>
          <t>Minimum fleet size</t>
        </is>
      </c>
      <c r="B24" s="16" t="inlineStr">
        <is>
          <t>Any</t>
        </is>
      </c>
      <c r="C24" s="16" t="inlineStr">
        <is>
          <t>Medium</t>
        </is>
      </c>
      <c r="D24" s="16" t="inlineStr">
        <is>
          <t>&gt;€50M pool</t>
        </is>
      </c>
      <c r="E24" s="15" t="inlineStr"/>
      <c r="F24" s="16" t="inlineStr"/>
      <c r="G24" s="16" t="inlineStr"/>
    </row>
    <row r="25">
      <c r="A25" s="11" t="inlineStr">
        <is>
          <t>Bank / financing partner complexity</t>
        </is>
      </c>
      <c r="B25" s="12" t="inlineStr">
        <is>
          <t>Low</t>
        </is>
      </c>
      <c r="C25" s="12" t="inlineStr">
        <is>
          <t>Moderate</t>
        </is>
      </c>
      <c r="D25" s="12" t="inlineStr">
        <is>
          <t>High</t>
        </is>
      </c>
      <c r="E25" s="11" t="inlineStr"/>
      <c r="F25" s="12" t="inlineStr"/>
      <c r="G25" s="12" t="inlineStr"/>
    </row>
    <row r="26">
      <c r="A26" s="15" t="inlineStr">
        <is>
          <t>Tokenization possible</t>
        </is>
      </c>
      <c r="B26" s="16" t="inlineStr">
        <is>
          <t>No</t>
        </is>
      </c>
      <c r="C26" s="16" t="inlineStr">
        <is>
          <t>No</t>
        </is>
      </c>
      <c r="D26" s="16" t="inlineStr">
        <is>
          <t>Yes</t>
        </is>
      </c>
      <c r="E26" s="15" t="inlineStr">
        <is>
          <t>Digital tokens on SPV equity</t>
        </is>
      </c>
      <c r="F26" s="16" t="inlineStr"/>
      <c r="G26" s="16" t="inlineStr"/>
    </row>
    <row r="27">
      <c r="A27" s="11" t="inlineStr">
        <is>
          <t>Best for model type</t>
        </is>
      </c>
      <c r="B27" s="12" t="inlineStr">
        <is>
          <t>Leasing</t>
        </is>
      </c>
      <c r="C27" s="12" t="inlineStr">
        <is>
          <t>Flex Contracting</t>
        </is>
      </c>
      <c r="D27" s="12" t="inlineStr">
        <is>
          <t>AaaS / Perf Contracting</t>
        </is>
      </c>
      <c r="E27" s="11" t="inlineStr"/>
      <c r="F27" s="12" t="inlineStr"/>
      <c r="G27" s="12" t="inlineStr"/>
    </row>
    <row r="29" ht="8" customHeight="1"/>
    <row r="30" ht="22" customHeight="1">
      <c r="A30" s="26" t="inlineStr">
        <is>
          <t>SPV DEAL SIZING (Option C) — Edit Green Cells</t>
        </is>
      </c>
    </row>
    <row r="31">
      <c r="A31" s="22" t="inlineStr">
        <is>
          <t>Total asset value to SPV (€)</t>
        </is>
      </c>
      <c r="B31" s="30" t="n">
        <v>1250000</v>
      </c>
      <c r="C31" s="28" t="inlineStr">
        <is>
          <t>From inputs above</t>
        </is>
      </c>
    </row>
    <row r="32">
      <c r="A32" s="29" t="inlineStr">
        <is>
          <t>Senior debt share</t>
        </is>
      </c>
      <c r="B32" s="32" t="n">
        <v>0.75</v>
      </c>
      <c r="C32" s="28" t="inlineStr">
        <is>
          <t>Typical 70–80%</t>
        </is>
      </c>
    </row>
    <row r="33">
      <c r="A33" s="22" t="inlineStr">
        <is>
          <t>Senior debt amount (€)</t>
        </is>
      </c>
      <c r="B33" s="30" t="n">
        <v>937500</v>
      </c>
      <c r="C33" s="28">
        <f>Asset value × senior debt %</f>
        <v/>
      </c>
    </row>
    <row r="34">
      <c r="A34" s="29" t="inlineStr">
        <is>
          <t>Equity share</t>
        </is>
      </c>
      <c r="B34" s="32" t="n">
        <v>0.25</v>
      </c>
      <c r="C34" s="28">
        <f>1 – senior debt %</f>
        <v/>
      </c>
    </row>
    <row r="35">
      <c r="A35" s="22" t="inlineStr">
        <is>
          <t>Equity amount (€)</t>
        </is>
      </c>
      <c r="B35" s="30" t="n">
        <v>312500</v>
      </c>
      <c r="C35" s="28">
        <f>Asset value × equity %</f>
        <v/>
      </c>
    </row>
    <row r="36">
      <c r="A36" s="29" t="inlineStr">
        <is>
          <t>Annual debt interest rate</t>
        </is>
      </c>
      <c r="B36" s="31" t="n">
        <v>0.055</v>
      </c>
      <c r="C36" s="28" t="inlineStr">
        <is>
          <t>Market rate for secured AaaS lending</t>
        </is>
      </c>
    </row>
    <row r="37">
      <c r="A37" s="22" t="inlineStr">
        <is>
          <t>Annual debt service (€)</t>
        </is>
      </c>
      <c r="B37" s="30" t="n">
        <v>162547</v>
      </c>
      <c r="C37" s="28">
        <f>Annuity formula (7-year term)</f>
        <v/>
      </c>
    </row>
    <row r="38">
      <c r="A38" s="29" t="inlineStr">
        <is>
          <t>DSCR (target &gt;1.3×)</t>
        </is>
      </c>
      <c r="B38" s="33" t="n">
        <v>3.14</v>
      </c>
      <c r="C38" s="28">
        <f>EBITDA / debt service — green if OK</f>
        <v/>
      </c>
    </row>
    <row r="39">
      <c r="A39" s="22" t="inlineStr">
        <is>
          <t>Equity IRR target</t>
        </is>
      </c>
      <c r="B39" s="31" t="n">
        <v>0.12</v>
      </c>
      <c r="C39" s="28" t="inlineStr">
        <is>
          <t>Typical institutional investor target</t>
        </is>
      </c>
    </row>
    <row r="40">
      <c r="A40" s="29" t="inlineStr">
        <is>
          <t>NPV at discount rate (€)</t>
        </is>
      </c>
      <c r="B40" s="30" t="n">
        <v>2186000</v>
      </c>
      <c r="C40" s="28" t="inlineStr">
        <is>
          <t>Estimated 7-year discounted cash flow</t>
        </is>
      </c>
    </row>
  </sheetData>
  <mergeCells count="4">
    <mergeCell ref="A30:G30"/>
    <mergeCell ref="A3:C3"/>
    <mergeCell ref="A1:G1"/>
    <mergeCell ref="A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20" customWidth="1" min="4" max="4"/>
    <col width="20" customWidth="1" min="5" max="5"/>
    <col width="26" customWidth="1" min="6" max="6"/>
    <col width="14" customWidth="1" min="7" max="7"/>
    <col width="5" customWidth="1" min="8" max="8"/>
  </cols>
  <sheetData>
    <row r="1" ht="35" customHeight="1">
      <c r="A1" s="8" t="inlineStr">
        <is>
          <t>BALANCE SHEET IMPACT — PROVIDER &amp; CUSTOMER</t>
        </is>
      </c>
    </row>
    <row r="2" ht="5" customHeight="1">
      <c r="A2" s="4" t="n"/>
      <c r="B2" s="4" t="n"/>
      <c r="C2" s="4" t="n"/>
      <c r="D2" s="4" t="n"/>
      <c r="E2" s="4" t="n"/>
      <c r="F2" s="4" t="n"/>
      <c r="G2" s="4" t="n"/>
      <c r="H2" s="4" t="n"/>
    </row>
    <row r="3" ht="22" customHeight="1">
      <c r="A3" s="34" t="inlineStr">
        <is>
          <t>PROVIDER — BEFORE AaaS</t>
        </is>
      </c>
      <c r="E3" s="35" t="inlineStr">
        <is>
          <t>PROVIDER — AFTER AaaS (with SPV)</t>
        </is>
      </c>
    </row>
    <row r="4">
      <c r="A4" s="10" t="inlineStr">
        <is>
          <t>Item</t>
        </is>
      </c>
      <c r="B4" s="10" t="inlineStr">
        <is>
          <t>Before</t>
        </is>
      </c>
      <c r="C4" s="10" t="inlineStr">
        <is>
          <t>Detail</t>
        </is>
      </c>
      <c r="D4" s="10" t="inlineStr"/>
      <c r="E4" s="10" t="inlineStr">
        <is>
          <t>Item</t>
        </is>
      </c>
      <c r="F4" s="10" t="inlineStr">
        <is>
          <t>After</t>
        </is>
      </c>
      <c r="G4" s="10" t="inlineStr">
        <is>
          <t>Detail</t>
        </is>
      </c>
      <c r="H4" s="10" t="inlineStr"/>
    </row>
    <row r="5">
      <c r="A5" s="11" t="inlineStr">
        <is>
          <t>Revenue</t>
        </is>
      </c>
      <c r="B5" s="11" t="inlineStr">
        <is>
          <t>One-time product revenue</t>
        </is>
      </c>
      <c r="C5" s="11" t="inlineStr"/>
      <c r="D5" s="11" t="inlineStr"/>
      <c r="E5" s="11" t="inlineStr">
        <is>
          <t>Revenue</t>
        </is>
      </c>
      <c r="F5" s="11" t="inlineStr">
        <is>
          <t>Recurring monthly usage fee</t>
        </is>
      </c>
      <c r="G5" s="11" t="inlineStr"/>
      <c r="H5" s="11" t="inlineStr"/>
    </row>
    <row r="6">
      <c r="A6" s="15" t="inlineStr">
        <is>
          <t>Assets</t>
        </is>
      </c>
      <c r="B6" s="15" t="inlineStr">
        <is>
          <t>Inventory → sold (off BS)</t>
        </is>
      </c>
      <c r="C6" s="15" t="inlineStr"/>
      <c r="D6" s="15" t="inlineStr"/>
      <c r="E6" s="15" t="inlineStr">
        <is>
          <t>Assets</t>
        </is>
      </c>
      <c r="F6" s="15" t="inlineStr">
        <is>
          <t>Off-BS via SPV / on PPE pre-SPV</t>
        </is>
      </c>
      <c r="G6" s="15" t="inlineStr"/>
      <c r="H6" s="15" t="inlineStr"/>
    </row>
    <row r="7">
      <c r="A7" s="11" t="inlineStr">
        <is>
          <t>Margin</t>
        </is>
      </c>
      <c r="B7" s="11" t="inlineStr">
        <is>
          <t>Product margin 30–50%</t>
        </is>
      </c>
      <c r="C7" s="11" t="inlineStr"/>
      <c r="D7" s="11" t="inlineStr"/>
      <c r="E7" s="11" t="inlineStr">
        <is>
          <t>Margin</t>
        </is>
      </c>
      <c r="F7" s="11" t="inlineStr">
        <is>
          <t>Service margin 55–75% at scale</t>
        </is>
      </c>
      <c r="G7" s="11" t="inlineStr"/>
      <c r="H7" s="11" t="inlineStr"/>
    </row>
    <row r="8">
      <c r="A8" s="15" t="inlineStr">
        <is>
          <t>Debt</t>
        </is>
      </c>
      <c r="B8" s="15" t="inlineStr">
        <is>
          <t>Short-term trade payables</t>
        </is>
      </c>
      <c r="C8" s="15" t="inlineStr"/>
      <c r="D8" s="15" t="inlineStr"/>
      <c r="E8" s="15" t="inlineStr">
        <is>
          <t>Debt</t>
        </is>
      </c>
      <c r="F8" s="15" t="inlineStr">
        <is>
          <t>Long-term asset financing</t>
        </is>
      </c>
      <c r="G8" s="15" t="inlineStr"/>
      <c r="H8" s="15" t="inlineStr"/>
    </row>
    <row r="9">
      <c r="A9" s="11" t="inlineStr">
        <is>
          <t>Cash Flow</t>
        </is>
      </c>
      <c r="B9" s="11" t="inlineStr">
        <is>
          <t>Front-loaded; lumpy</t>
        </is>
      </c>
      <c r="C9" s="11" t="inlineStr"/>
      <c r="D9" s="11" t="inlineStr"/>
      <c r="E9" s="11" t="inlineStr">
        <is>
          <t>Cash Flow</t>
        </is>
      </c>
      <c r="F9" s="11" t="inlineStr">
        <is>
          <t>Recurring; predictable</t>
        </is>
      </c>
      <c r="G9" s="11" t="inlineStr"/>
      <c r="H9" s="11" t="inlineStr"/>
    </row>
    <row r="10">
      <c r="A10" s="15" t="inlineStr">
        <is>
          <t>BS Ratio</t>
        </is>
      </c>
      <c r="B10" s="15" t="inlineStr">
        <is>
          <t>Low leverage</t>
        </is>
      </c>
      <c r="C10" s="15" t="inlineStr"/>
      <c r="D10" s="15" t="inlineStr"/>
      <c r="E10" s="15" t="inlineStr">
        <is>
          <t>BS Ratio</t>
        </is>
      </c>
      <c r="F10" s="15" t="inlineStr">
        <is>
          <t>Higher until SPV arranged</t>
        </is>
      </c>
      <c r="G10" s="15" t="inlineStr"/>
      <c r="H10" s="15" t="inlineStr"/>
    </row>
    <row r="12" ht="8" customHeight="1"/>
    <row r="13" ht="22" customHeight="1">
      <c r="A13" s="34" t="inlineStr">
        <is>
          <t>CUSTOMER — CAPEX PURCHASE</t>
        </is>
      </c>
      <c r="E13" s="35" t="inlineStr">
        <is>
          <t>CUSTOMER — AaaS (OPEX model)</t>
        </is>
      </c>
    </row>
    <row r="14">
      <c r="A14" s="10" t="inlineStr">
        <is>
          <t>Item</t>
        </is>
      </c>
      <c r="B14" s="10" t="inlineStr">
        <is>
          <t>CAPEX Purchase</t>
        </is>
      </c>
      <c r="C14" s="10" t="inlineStr">
        <is>
          <t>Detail</t>
        </is>
      </c>
      <c r="D14" s="10" t="inlineStr"/>
      <c r="E14" s="10" t="inlineStr">
        <is>
          <t>Item</t>
        </is>
      </c>
      <c r="F14" s="10" t="inlineStr">
        <is>
          <t>AaaS (OPEX)</t>
        </is>
      </c>
      <c r="G14" s="10" t="inlineStr">
        <is>
          <t>Detail</t>
        </is>
      </c>
      <c r="H14" s="10" t="inlineStr"/>
    </row>
    <row r="15">
      <c r="A15" s="11" t="inlineStr">
        <is>
          <t>Assets</t>
        </is>
      </c>
      <c r="B15" s="11" t="inlineStr">
        <is>
          <t>+Equipment (PPE) on BS</t>
        </is>
      </c>
      <c r="C15" s="11" t="inlineStr"/>
      <c r="D15" s="11" t="inlineStr"/>
      <c r="E15" s="11" t="inlineStr">
        <is>
          <t>Assets</t>
        </is>
      </c>
      <c r="F15" s="11" t="inlineStr">
        <is>
          <t>No change — no asset on BS</t>
        </is>
      </c>
      <c r="G15" s="11" t="inlineStr"/>
      <c r="H15" s="11" t="inlineStr"/>
    </row>
    <row r="16">
      <c r="A16" s="15" t="inlineStr">
        <is>
          <t>Liabilities</t>
        </is>
      </c>
      <c r="B16" s="15" t="inlineStr">
        <is>
          <t>+Debt or payables on BS</t>
        </is>
      </c>
      <c r="C16" s="15" t="inlineStr"/>
      <c r="D16" s="15" t="inlineStr"/>
      <c r="E16" s="15" t="inlineStr">
        <is>
          <t>Liabilities</t>
        </is>
      </c>
      <c r="F16" s="15" t="inlineStr">
        <is>
          <t>No change — service = OPEX</t>
        </is>
      </c>
      <c r="G16" s="15" t="inlineStr"/>
      <c r="H16" s="15" t="inlineStr"/>
    </row>
    <row r="17">
      <c r="A17" s="11" t="inlineStr">
        <is>
          <t>P&amp;L</t>
        </is>
      </c>
      <c r="B17" s="11" t="inlineStr">
        <is>
          <t>Depreciation + maintenance</t>
        </is>
      </c>
      <c r="C17" s="11" t="inlineStr"/>
      <c r="D17" s="11" t="inlineStr"/>
      <c r="E17" s="11" t="inlineStr">
        <is>
          <t>P&amp;L</t>
        </is>
      </c>
      <c r="F17" s="11" t="inlineStr">
        <is>
          <t>Service fee only (OPEX)</t>
        </is>
      </c>
      <c r="G17" s="11" t="inlineStr"/>
      <c r="H17" s="11" t="inlineStr"/>
    </row>
    <row r="18">
      <c r="A18" s="15" t="inlineStr">
        <is>
          <t>Cash Flow</t>
        </is>
      </c>
      <c r="B18" s="15" t="inlineStr">
        <is>
          <t>Large upfront outlay</t>
        </is>
      </c>
      <c r="C18" s="15" t="inlineStr"/>
      <c r="D18" s="15" t="inlineStr"/>
      <c r="E18" s="15" t="inlineStr">
        <is>
          <t>Cash Flow</t>
        </is>
      </c>
      <c r="F18" s="15" t="inlineStr">
        <is>
          <t>Predictable monthly payments</t>
        </is>
      </c>
      <c r="G18" s="15" t="inlineStr"/>
      <c r="H18" s="15" t="inlineStr"/>
    </row>
    <row r="19">
      <c r="A19" s="11" t="inlineStr">
        <is>
          <t>ROA</t>
        </is>
      </c>
      <c r="B19" s="11" t="inlineStr">
        <is>
          <t>ROA degrades (more assets)</t>
        </is>
      </c>
      <c r="C19" s="11" t="inlineStr"/>
      <c r="D19" s="11" t="inlineStr"/>
      <c r="E19" s="11" t="inlineStr">
        <is>
          <t>ROA</t>
        </is>
      </c>
      <c r="F19" s="11" t="inlineStr">
        <is>
          <t>ROA improves (same output, fewer BS assets)</t>
        </is>
      </c>
      <c r="G19" s="11" t="inlineStr"/>
      <c r="H19" s="11" t="inlineStr"/>
    </row>
    <row r="20">
      <c r="A20" s="15" t="inlineStr">
        <is>
          <t>IFRS 16</t>
        </is>
      </c>
      <c r="B20" s="15" t="inlineStr">
        <is>
          <t>Long-term leases capitalized</t>
        </is>
      </c>
      <c r="C20" s="15" t="inlineStr"/>
      <c r="D20" s="15" t="inlineStr"/>
      <c r="E20" s="15" t="inlineStr">
        <is>
          <t>IFRS 16</t>
        </is>
      </c>
      <c r="F20" s="15" t="inlineStr">
        <is>
          <t>AaaS service may not be capitalized</t>
        </is>
      </c>
      <c r="G20" s="15" t="inlineStr"/>
      <c r="H20" s="15" t="inlineStr"/>
    </row>
    <row r="22" ht="8" customHeight="1"/>
    <row r="23" ht="22" customHeight="1">
      <c r="A23" s="26" t="inlineStr">
        <is>
          <t>KEY RATIOS TO TRACK (PROVIDER)</t>
        </is>
      </c>
    </row>
    <row r="24">
      <c r="A24" s="10" t="inlineStr">
        <is>
          <t>Ratio</t>
        </is>
      </c>
      <c r="B24" s="10" t="inlineStr">
        <is>
          <t>Formula</t>
        </is>
      </c>
      <c r="C24" s="10" t="inlineStr">
        <is>
          <t>Target</t>
        </is>
      </c>
      <c r="D24" s="10" t="inlineStr">
        <is>
          <t>Your Value (enter)</t>
        </is>
      </c>
      <c r="E24" s="10" t="inlineStr">
        <is>
          <t>Status</t>
        </is>
      </c>
      <c r="F24" s="10" t="inlineStr"/>
      <c r="G24" s="10" t="inlineStr"/>
      <c r="H24" s="10" t="inlineStr"/>
    </row>
    <row r="25">
      <c r="A25" s="11" t="inlineStr">
        <is>
          <t>Debt-to-Assets</t>
        </is>
      </c>
      <c r="B25" s="11" t="inlineStr">
        <is>
          <t>Total Debt / Total Assets</t>
        </is>
      </c>
      <c r="C25" s="11" t="inlineStr">
        <is>
          <t>&lt;0.7 (pre-SPV)</t>
        </is>
      </c>
      <c r="D25" s="36" t="inlineStr"/>
      <c r="E25" s="11" t="inlineStr"/>
      <c r="F25" s="11" t="inlineStr"/>
      <c r="G25" s="11" t="inlineStr"/>
      <c r="H25" s="11" t="inlineStr"/>
    </row>
    <row r="26">
      <c r="A26" s="15" t="inlineStr">
        <is>
          <t>Asset Utilization Rate</t>
        </is>
      </c>
      <c r="B26" s="15" t="inlineStr">
        <is>
          <t>Revenue / Active Deployed Units</t>
        </is>
      </c>
      <c r="C26" s="15" t="inlineStr">
        <is>
          <t>Growing YoY</t>
        </is>
      </c>
      <c r="D26" s="36" t="inlineStr"/>
      <c r="E26" s="15" t="inlineStr"/>
      <c r="F26" s="15" t="inlineStr"/>
      <c r="G26" s="15" t="inlineStr"/>
      <c r="H26" s="15" t="inlineStr"/>
    </row>
    <row r="27">
      <c r="A27" s="11" t="inlineStr">
        <is>
          <t>EBITDA Margin</t>
        </is>
      </c>
      <c r="B27" s="11" t="inlineStr">
        <is>
          <t>EBITDA / Revenue</t>
        </is>
      </c>
      <c r="C27" s="11" t="inlineStr">
        <is>
          <t>&gt;20%</t>
        </is>
      </c>
      <c r="D27" s="36" t="inlineStr"/>
      <c r="E27" s="11" t="inlineStr"/>
      <c r="F27" s="11" t="inlineStr"/>
      <c r="G27" s="11" t="inlineStr"/>
      <c r="H27" s="11" t="inlineStr"/>
    </row>
    <row r="28">
      <c r="A28" s="15" t="inlineStr">
        <is>
          <t>DSCR</t>
        </is>
      </c>
      <c r="B28" s="15" t="inlineStr">
        <is>
          <t>EBITDA / Annual Debt Service</t>
        </is>
      </c>
      <c r="C28" s="15" t="inlineStr">
        <is>
          <t>&gt;1.3×</t>
        </is>
      </c>
      <c r="D28" s="36" t="inlineStr"/>
      <c r="E28" s="15" t="inlineStr"/>
      <c r="F28" s="15" t="inlineStr"/>
      <c r="G28" s="15" t="inlineStr"/>
      <c r="H28" s="15" t="inlineStr"/>
    </row>
    <row r="29">
      <c r="A29" s="11" t="inlineStr">
        <is>
          <t>Days Sales Outstanding</t>
        </is>
      </c>
      <c r="B29" s="11" t="inlineStr">
        <is>
          <t>AR balance / (Revenue / 365)</t>
        </is>
      </c>
      <c r="C29" s="11" t="inlineStr">
        <is>
          <t>&lt;45 days</t>
        </is>
      </c>
      <c r="D29" s="36" t="inlineStr"/>
      <c r="E29" s="11" t="inlineStr"/>
      <c r="F29" s="11" t="inlineStr"/>
      <c r="G29" s="11" t="inlineStr"/>
      <c r="H29" s="11" t="inlineStr"/>
    </row>
    <row r="30">
      <c r="A30" s="15" t="inlineStr">
        <is>
          <t>LTV:CAC Ratio</t>
        </is>
      </c>
      <c r="B30" s="15" t="inlineStr">
        <is>
          <t>Lifetime Value / Acq. Cost</t>
        </is>
      </c>
      <c r="C30" s="15" t="inlineStr">
        <is>
          <t>&gt;3×</t>
        </is>
      </c>
      <c r="D30" s="36" t="inlineStr"/>
      <c r="E30" s="15" t="inlineStr"/>
      <c r="F30" s="15" t="inlineStr"/>
      <c r="G30" s="15" t="inlineStr"/>
      <c r="H30" s="15" t="inlineStr"/>
    </row>
  </sheetData>
  <mergeCells count="6">
    <mergeCell ref="E3:H3"/>
    <mergeCell ref="A3:D3"/>
    <mergeCell ref="A1:H1"/>
    <mergeCell ref="A23:H23"/>
    <mergeCell ref="A13:D13"/>
    <mergeCell ref="E13:H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8" t="inlineStr">
        <is>
          <t>EaaS P&amp;L PROJECTION — 7-YEAR MODEL</t>
        </is>
      </c>
    </row>
    <row r="2" ht="5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 ht="22" customHeight="1">
      <c r="A3" s="26" t="inlineStr">
        <is>
          <t>INPUTS — Edit Green Cells</t>
        </is>
      </c>
    </row>
    <row r="4">
      <c r="A4" s="22" t="inlineStr">
        <is>
          <t>Units deployed</t>
        </is>
      </c>
      <c r="B4" s="27" t="n">
        <v>50</v>
      </c>
      <c r="C4" s="28" t="inlineStr">
        <is>
          <t>units</t>
        </is>
      </c>
    </row>
    <row r="5">
      <c r="A5" s="29" t="inlineStr">
        <is>
          <t>Monthly fee/unit (€)</t>
        </is>
      </c>
      <c r="B5" s="30" t="n">
        <v>850</v>
      </c>
      <c r="C5" s="28" t="inlineStr">
        <is>
          <t>€/unit/month</t>
        </is>
      </c>
    </row>
    <row r="6">
      <c r="A6" s="22" t="inlineStr">
        <is>
          <t>Annual fee growth rate</t>
        </is>
      </c>
      <c r="B6" s="31" t="n">
        <v>0.03</v>
      </c>
      <c r="C6" s="28" t="inlineStr">
        <is>
          <t>% per year</t>
        </is>
      </c>
    </row>
    <row r="7">
      <c r="A7" s="29" t="inlineStr">
        <is>
          <t>Service cost ratio</t>
        </is>
      </c>
      <c r="B7" s="31" t="n">
        <v>0.35</v>
      </c>
      <c r="C7" s="28" t="inlineStr">
        <is>
          <t>% of revenue</t>
        </is>
      </c>
    </row>
    <row r="8">
      <c r="A8" s="22" t="inlineStr">
        <is>
          <t>Annual OpEx (€)</t>
        </is>
      </c>
      <c r="B8" s="30" t="n">
        <v>200000</v>
      </c>
      <c r="C8" s="28" t="inlineStr">
        <is>
          <t>€</t>
        </is>
      </c>
    </row>
    <row r="9">
      <c r="A9" s="29" t="inlineStr">
        <is>
          <t>D&amp;A per year (€)</t>
        </is>
      </c>
      <c r="B9" s="30" t="n">
        <v>50000</v>
      </c>
      <c r="C9" s="28" t="inlineStr">
        <is>
          <t>€ (fleet depreciation)</t>
        </is>
      </c>
    </row>
    <row r="10">
      <c r="A10" s="22" t="inlineStr">
        <is>
          <t>Income tax rate</t>
        </is>
      </c>
      <c r="B10" s="31" t="n">
        <v>0.22</v>
      </c>
      <c r="C10" s="28" t="inlineStr">
        <is>
          <t>%</t>
        </is>
      </c>
    </row>
    <row r="13" ht="22" customHeight="1">
      <c r="A13" s="10" t="inlineStr">
        <is>
          <t>LINE ITEM</t>
        </is>
      </c>
      <c r="B13" s="10" t="inlineStr">
        <is>
          <t>Year 1</t>
        </is>
      </c>
      <c r="C13" s="10" t="inlineStr">
        <is>
          <t>Year 2</t>
        </is>
      </c>
      <c r="D13" s="10" t="inlineStr">
        <is>
          <t>Year 3</t>
        </is>
      </c>
      <c r="E13" s="10" t="inlineStr">
        <is>
          <t>Year 4</t>
        </is>
      </c>
      <c r="F13" s="10" t="inlineStr">
        <is>
          <t>Year 5</t>
        </is>
      </c>
      <c r="G13" s="10" t="inlineStr">
        <is>
          <t>Year 6</t>
        </is>
      </c>
      <c r="H13" s="10" t="inlineStr">
        <is>
          <t>Year 7</t>
        </is>
      </c>
    </row>
    <row r="14">
      <c r="A14" s="37" t="inlineStr">
        <is>
          <t>REVENUE</t>
        </is>
      </c>
      <c r="B14" s="38" t="n">
        <v>510000</v>
      </c>
      <c r="C14" s="38" t="n">
        <v>525300</v>
      </c>
      <c r="D14" s="38" t="n">
        <v>541059</v>
      </c>
      <c r="E14" s="38" t="n">
        <v>557291</v>
      </c>
      <c r="F14" s="38" t="n">
        <v>574009</v>
      </c>
      <c r="G14" s="38" t="n">
        <v>591230</v>
      </c>
      <c r="H14" s="38" t="n">
        <v>608967</v>
      </c>
    </row>
    <row r="15">
      <c r="A15" s="39" t="inlineStr">
        <is>
          <t xml:space="preserve">  Service Cost</t>
        </is>
      </c>
      <c r="B15" s="40" t="n">
        <v>178500</v>
      </c>
      <c r="C15" s="40" t="n">
        <v>183855</v>
      </c>
      <c r="D15" s="40" t="n">
        <v>189371</v>
      </c>
      <c r="E15" s="40" t="n">
        <v>195052</v>
      </c>
      <c r="F15" s="40" t="n">
        <v>200903</v>
      </c>
      <c r="G15" s="40" t="n">
        <v>206930</v>
      </c>
      <c r="H15" s="40" t="n">
        <v>213138</v>
      </c>
    </row>
    <row r="16">
      <c r="A16" s="22" t="inlineStr">
        <is>
          <t>GROSS PROFIT</t>
        </is>
      </c>
      <c r="B16" s="41" t="n">
        <v>331500</v>
      </c>
      <c r="C16" s="41" t="n">
        <v>341445</v>
      </c>
      <c r="D16" s="41" t="n">
        <v>351688</v>
      </c>
      <c r="E16" s="41" t="n">
        <v>362239</v>
      </c>
      <c r="F16" s="41" t="n">
        <v>373106</v>
      </c>
      <c r="G16" s="41" t="n">
        <v>384299</v>
      </c>
      <c r="H16" s="41" t="n">
        <v>395828</v>
      </c>
    </row>
    <row r="17">
      <c r="A17" s="42" t="inlineStr">
        <is>
          <t xml:space="preserve">  Gross Margin %</t>
        </is>
      </c>
      <c r="B17" s="43" t="n">
        <v>1</v>
      </c>
      <c r="C17" s="43" t="n">
        <v>1</v>
      </c>
      <c r="D17" s="43" t="n">
        <v>1</v>
      </c>
      <c r="E17" s="43" t="n">
        <v>1</v>
      </c>
      <c r="F17" s="43" t="n">
        <v>1</v>
      </c>
      <c r="G17" s="43" t="n">
        <v>1</v>
      </c>
      <c r="H17" s="43" t="n">
        <v>1</v>
      </c>
    </row>
    <row r="18">
      <c r="A18" s="42" t="inlineStr">
        <is>
          <t xml:space="preserve">  OpEx</t>
        </is>
      </c>
      <c r="B18" s="44" t="n">
        <v>200000</v>
      </c>
      <c r="C18" s="44" t="n">
        <v>200000</v>
      </c>
      <c r="D18" s="44" t="n">
        <v>200000</v>
      </c>
      <c r="E18" s="44" t="n">
        <v>200000</v>
      </c>
      <c r="F18" s="44" t="n">
        <v>200000</v>
      </c>
      <c r="G18" s="44" t="n">
        <v>200000</v>
      </c>
      <c r="H18" s="44" t="n">
        <v>200000</v>
      </c>
    </row>
    <row r="19">
      <c r="A19" s="37" t="inlineStr">
        <is>
          <t>EBITDA</t>
        </is>
      </c>
      <c r="B19" s="38" t="n">
        <v>131500</v>
      </c>
      <c r="C19" s="38" t="n">
        <v>141445</v>
      </c>
      <c r="D19" s="38" t="n">
        <v>151688</v>
      </c>
      <c r="E19" s="38" t="n">
        <v>162239</v>
      </c>
      <c r="F19" s="38" t="n">
        <v>173106</v>
      </c>
      <c r="G19" s="38" t="n">
        <v>184299</v>
      </c>
      <c r="H19" s="38" t="n">
        <v>195828</v>
      </c>
    </row>
    <row r="20">
      <c r="A20" s="42" t="inlineStr">
        <is>
          <t xml:space="preserve">  EBITDA Margin %</t>
        </is>
      </c>
      <c r="B20" s="43" t="n">
        <v>0</v>
      </c>
      <c r="C20" s="43" t="n">
        <v>0</v>
      </c>
      <c r="D20" s="43" t="n">
        <v>0</v>
      </c>
      <c r="E20" s="43" t="n">
        <v>0</v>
      </c>
      <c r="F20" s="43" t="n">
        <v>0</v>
      </c>
      <c r="G20" s="43" t="n">
        <v>0</v>
      </c>
      <c r="H20" s="43" t="n">
        <v>0</v>
      </c>
    </row>
    <row r="21">
      <c r="A21" s="39" t="inlineStr">
        <is>
          <t xml:space="preserve">  D&amp;A</t>
        </is>
      </c>
      <c r="B21" s="40" t="n">
        <v>50000</v>
      </c>
      <c r="C21" s="40" t="n">
        <v>50000</v>
      </c>
      <c r="D21" s="40" t="n">
        <v>50000</v>
      </c>
      <c r="E21" s="40" t="n">
        <v>50000</v>
      </c>
      <c r="F21" s="40" t="n">
        <v>50000</v>
      </c>
      <c r="G21" s="40" t="n">
        <v>50000</v>
      </c>
      <c r="H21" s="40" t="n">
        <v>50000</v>
      </c>
    </row>
    <row r="22">
      <c r="A22" s="22" t="inlineStr">
        <is>
          <t>EBIT</t>
        </is>
      </c>
      <c r="B22" s="41" t="n">
        <v>81500</v>
      </c>
      <c r="C22" s="41" t="n">
        <v>91445</v>
      </c>
      <c r="D22" s="41" t="n">
        <v>101688</v>
      </c>
      <c r="E22" s="41" t="n">
        <v>112239</v>
      </c>
      <c r="F22" s="41" t="n">
        <v>123106</v>
      </c>
      <c r="G22" s="41" t="n">
        <v>134299</v>
      </c>
      <c r="H22" s="41" t="n">
        <v>145828</v>
      </c>
    </row>
    <row r="23">
      <c r="A23" s="39" t="inlineStr">
        <is>
          <t xml:space="preserve">  Income Tax</t>
        </is>
      </c>
      <c r="B23" s="40" t="n">
        <v>17930</v>
      </c>
      <c r="C23" s="40" t="n">
        <v>20118</v>
      </c>
      <c r="D23" s="40" t="n">
        <v>22371</v>
      </c>
      <c r="E23" s="40" t="n">
        <v>24693</v>
      </c>
      <c r="F23" s="40" t="n">
        <v>27083</v>
      </c>
      <c r="G23" s="40" t="n">
        <v>29546</v>
      </c>
      <c r="H23" s="40" t="n">
        <v>32082</v>
      </c>
    </row>
    <row r="24">
      <c r="A24" s="37" t="inlineStr">
        <is>
          <t>NET INCOME</t>
        </is>
      </c>
      <c r="B24" s="38" t="n">
        <v>63570</v>
      </c>
      <c r="C24" s="38" t="n">
        <v>71327</v>
      </c>
      <c r="D24" s="38" t="n">
        <v>79317</v>
      </c>
      <c r="E24" s="38" t="n">
        <v>87546</v>
      </c>
      <c r="F24" s="38" t="n">
        <v>96023</v>
      </c>
      <c r="G24" s="38" t="n">
        <v>104753</v>
      </c>
      <c r="H24" s="38" t="n">
        <v>113746</v>
      </c>
    </row>
  </sheetData>
  <mergeCells count="2">
    <mergeCell ref="A1:I1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4" customWidth="1" min="5" max="5"/>
    <col width="20" customWidth="1" min="6" max="6"/>
    <col width="16" customWidth="1" min="7" max="7"/>
    <col width="14" customWidth="1" min="8" max="8"/>
    <col width="12" customWidth="1" min="9" max="9"/>
  </cols>
  <sheetData>
    <row r="1" ht="35" customHeight="1">
      <c r="A1" s="8" t="inlineStr">
        <is>
          <t>10-YEAR ASSET CAPACITY &amp; REVENUE PLANNING</t>
        </is>
      </c>
    </row>
    <row r="2" ht="5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 ht="22" customHeight="1">
      <c r="A3" s="26" t="inlineStr">
        <is>
          <t>ASSET BUILDOUT SCHEDULE — INPUTS (Edit Green Cells)</t>
        </is>
      </c>
    </row>
    <row r="4" ht="22" customHeight="1">
      <c r="A4" s="10" t="inlineStr">
        <is>
          <t>Tranche</t>
        </is>
      </c>
      <c r="B4" s="10" t="inlineStr">
        <is>
          <t>Start Month</t>
        </is>
      </c>
      <c r="C4" s="10" t="inlineStr">
        <is>
          <t>Units</t>
        </is>
      </c>
      <c r="D4" s="10" t="inlineStr">
        <is>
          <t>Cost/Unit (€)</t>
        </is>
      </c>
      <c r="E4" s="10" t="inlineStr">
        <is>
          <t>Total Cost (€)</t>
        </is>
      </c>
      <c r="F4" s="10" t="inlineStr">
        <is>
          <t>Useful Life (yrs)</t>
        </is>
      </c>
      <c r="G4" s="10" t="inlineStr">
        <is>
          <t>Max hrs/unit/mo</t>
        </is>
      </c>
      <c r="H4" s="10" t="inlineStr">
        <is>
          <t>Fleet Capacity hrs/mo</t>
        </is>
      </c>
      <c r="I4" s="10" t="inlineStr">
        <is>
          <t>Notes</t>
        </is>
      </c>
    </row>
    <row r="5">
      <c r="A5" s="11" t="inlineStr">
        <is>
          <t>Tranche 1</t>
        </is>
      </c>
      <c r="B5" s="13" t="n">
        <v>1</v>
      </c>
      <c r="C5" s="13" t="n">
        <v>10</v>
      </c>
      <c r="D5" s="45" t="n">
        <v>25000</v>
      </c>
      <c r="E5" s="45" t="n">
        <v>250000</v>
      </c>
      <c r="F5" s="12" t="n">
        <v>7</v>
      </c>
      <c r="G5" s="12" t="n">
        <v>720</v>
      </c>
      <c r="H5" s="12" t="n">
        <v>7200</v>
      </c>
      <c r="I5" s="11" t="inlineStr">
        <is>
          <t>Initial deployment</t>
        </is>
      </c>
    </row>
    <row r="6">
      <c r="A6" s="15" t="inlineStr">
        <is>
          <t>Tranche 2</t>
        </is>
      </c>
      <c r="B6" s="13" t="n">
        <v>7</v>
      </c>
      <c r="C6" s="13" t="n">
        <v>15</v>
      </c>
      <c r="D6" s="46" t="n">
        <v>24000</v>
      </c>
      <c r="E6" s="46" t="n">
        <v>360000</v>
      </c>
      <c r="F6" s="16" t="n">
        <v>7</v>
      </c>
      <c r="G6" s="16" t="n">
        <v>720</v>
      </c>
      <c r="H6" s="16" t="n">
        <v>10800</v>
      </c>
      <c r="I6" s="15" t="inlineStr">
        <is>
          <t>Growth phase</t>
        </is>
      </c>
    </row>
    <row r="7">
      <c r="A7" s="11" t="inlineStr">
        <is>
          <t>Tranche 3</t>
        </is>
      </c>
      <c r="B7" s="13" t="n">
        <v>13</v>
      </c>
      <c r="C7" s="13" t="n">
        <v>20</v>
      </c>
      <c r="D7" s="45" t="n">
        <v>23000</v>
      </c>
      <c r="E7" s="45" t="n">
        <v>460000</v>
      </c>
      <c r="F7" s="12" t="n">
        <v>7</v>
      </c>
      <c r="G7" s="12" t="n">
        <v>720</v>
      </c>
      <c r="H7" s="12" t="n">
        <v>14400</v>
      </c>
      <c r="I7" s="11" t="inlineStr">
        <is>
          <t>Expansion</t>
        </is>
      </c>
    </row>
    <row r="8">
      <c r="A8" s="15" t="inlineStr">
        <is>
          <t>Tranche 4</t>
        </is>
      </c>
      <c r="B8" s="13" t="n">
        <v>25</v>
      </c>
      <c r="C8" s="13" t="n">
        <v>25</v>
      </c>
      <c r="D8" s="46" t="n">
        <v>22000</v>
      </c>
      <c r="E8" s="46" t="n">
        <v>550000</v>
      </c>
      <c r="F8" s="16" t="n">
        <v>7</v>
      </c>
      <c r="G8" s="16" t="n">
        <v>720</v>
      </c>
      <c r="H8" s="16" t="n">
        <v>18000</v>
      </c>
      <c r="I8" s="15" t="inlineStr">
        <is>
          <t>Scale-up</t>
        </is>
      </c>
    </row>
    <row r="9">
      <c r="A9" s="11" t="inlineStr">
        <is>
          <t>Tranche 5</t>
        </is>
      </c>
      <c r="B9" s="13" t="n">
        <v>37</v>
      </c>
      <c r="C9" s="13" t="n">
        <v>30</v>
      </c>
      <c r="D9" s="45" t="n">
        <v>21000</v>
      </c>
      <c r="E9" s="45" t="n">
        <v>630000</v>
      </c>
      <c r="F9" s="12" t="n">
        <v>7</v>
      </c>
      <c r="G9" s="12" t="n">
        <v>720</v>
      </c>
      <c r="H9" s="12" t="n">
        <v>21600</v>
      </c>
      <c r="I9" s="11" t="inlineStr">
        <is>
          <t>Steady state</t>
        </is>
      </c>
    </row>
    <row r="11" ht="8" customHeight="1"/>
    <row r="12" ht="22" customHeight="1">
      <c r="A12" s="26" t="inlineStr">
        <is>
          <t>ANNUAL CAPACITY &amp; REVENUE SUMMARY (10 Years)</t>
        </is>
      </c>
    </row>
    <row r="13" ht="22" customHeight="1">
      <c r="A13" s="10" t="inlineStr">
        <is>
          <t>Year</t>
        </is>
      </c>
      <c r="B13" s="10" t="inlineStr">
        <is>
          <t>Active Units</t>
        </is>
      </c>
      <c r="C13" s="10" t="inlineStr">
        <is>
          <t>Avail. hrs/mo</t>
        </is>
      </c>
      <c r="D13" s="10" t="inlineStr">
        <is>
          <t>Demanded hrs/mo</t>
        </is>
      </c>
      <c r="E13" s="10" t="inlineStr">
        <is>
          <t>Utilization %</t>
        </is>
      </c>
      <c r="F13" s="10" t="inlineStr">
        <is>
          <t>Annual Revenue (€)</t>
        </is>
      </c>
      <c r="G13" s="10" t="inlineStr">
        <is>
          <t>Service Cost (€)</t>
        </is>
      </c>
      <c r="H13" s="10" t="inlineStr">
        <is>
          <t>EBITDA (€)</t>
        </is>
      </c>
      <c r="I13" s="10" t="inlineStr">
        <is>
          <t>EBITDA %</t>
        </is>
      </c>
    </row>
    <row r="14">
      <c r="A14" s="12" t="n">
        <v>1</v>
      </c>
      <c r="B14" s="47" t="n">
        <v>10</v>
      </c>
      <c r="C14" s="47" t="n">
        <v>7200</v>
      </c>
      <c r="D14" s="47" t="n">
        <v>4000</v>
      </c>
      <c r="E14" s="43" t="n">
        <v>0.556</v>
      </c>
      <c r="F14" s="44" t="n">
        <v>102000</v>
      </c>
      <c r="G14" s="44" t="n">
        <v>35700</v>
      </c>
      <c r="H14" s="44" t="n">
        <v>66300</v>
      </c>
      <c r="I14" s="43" t="n">
        <v>0.65</v>
      </c>
    </row>
    <row r="15">
      <c r="A15" s="16" t="n">
        <v>2</v>
      </c>
      <c r="B15" s="48" t="n">
        <v>25</v>
      </c>
      <c r="C15" s="48" t="n">
        <v>18000</v>
      </c>
      <c r="D15" s="48" t="n">
        <v>11000</v>
      </c>
      <c r="E15" s="49" t="n">
        <v>0.611</v>
      </c>
      <c r="F15" s="40" t="n">
        <v>255000</v>
      </c>
      <c r="G15" s="40" t="n">
        <v>89250</v>
      </c>
      <c r="H15" s="40" t="n">
        <v>165750</v>
      </c>
      <c r="I15" s="49" t="n">
        <v>0.65</v>
      </c>
    </row>
    <row r="16">
      <c r="A16" s="12" t="n">
        <v>3</v>
      </c>
      <c r="B16" s="47" t="n">
        <v>45</v>
      </c>
      <c r="C16" s="47" t="n">
        <v>32400</v>
      </c>
      <c r="D16" s="47" t="n">
        <v>22000</v>
      </c>
      <c r="E16" s="43" t="n">
        <v>0.679</v>
      </c>
      <c r="F16" s="44" t="n">
        <v>459000</v>
      </c>
      <c r="G16" s="44" t="n">
        <v>160650</v>
      </c>
      <c r="H16" s="44" t="n">
        <v>298350</v>
      </c>
      <c r="I16" s="43" t="n">
        <v>0.65</v>
      </c>
    </row>
    <row r="17">
      <c r="A17" s="16" t="n">
        <v>4</v>
      </c>
      <c r="B17" s="48" t="n">
        <v>45</v>
      </c>
      <c r="C17" s="48" t="n">
        <v>32400</v>
      </c>
      <c r="D17" s="48" t="n">
        <v>26000</v>
      </c>
      <c r="E17" s="49" t="n">
        <v>0.802</v>
      </c>
      <c r="F17" s="40" t="n">
        <v>474570</v>
      </c>
      <c r="G17" s="40" t="n">
        <v>166100</v>
      </c>
      <c r="H17" s="40" t="n">
        <v>308470</v>
      </c>
      <c r="I17" s="49" t="n">
        <v>0.65</v>
      </c>
    </row>
    <row r="18">
      <c r="A18" s="12" t="n">
        <v>5</v>
      </c>
      <c r="B18" s="47" t="n">
        <v>70</v>
      </c>
      <c r="C18" s="47" t="n">
        <v>50400</v>
      </c>
      <c r="D18" s="47" t="n">
        <v>38000</v>
      </c>
      <c r="E18" s="43" t="n">
        <v>0.754</v>
      </c>
      <c r="F18" s="44" t="n">
        <v>703785</v>
      </c>
      <c r="G18" s="44" t="n">
        <v>246325</v>
      </c>
      <c r="H18" s="44" t="n">
        <v>457460</v>
      </c>
      <c r="I18" s="43" t="n">
        <v>0.65</v>
      </c>
    </row>
    <row r="19">
      <c r="A19" s="16" t="n">
        <v>6</v>
      </c>
      <c r="B19" s="48" t="n">
        <v>100</v>
      </c>
      <c r="C19" s="48" t="n">
        <v>72000</v>
      </c>
      <c r="D19" s="48" t="n">
        <v>56000</v>
      </c>
      <c r="E19" s="49" t="n">
        <v>0.778</v>
      </c>
      <c r="F19" s="40" t="n">
        <v>1022992</v>
      </c>
      <c r="G19" s="40" t="n">
        <v>358047</v>
      </c>
      <c r="H19" s="40" t="n">
        <v>664945</v>
      </c>
      <c r="I19" s="49" t="n">
        <v>0.65</v>
      </c>
    </row>
    <row r="20">
      <c r="A20" s="12" t="n">
        <v>7</v>
      </c>
      <c r="B20" s="47" t="n">
        <v>100</v>
      </c>
      <c r="C20" s="47" t="n">
        <v>72000</v>
      </c>
      <c r="D20" s="47" t="n">
        <v>65000</v>
      </c>
      <c r="E20" s="50" t="n">
        <v>0.903</v>
      </c>
      <c r="F20" s="44" t="n">
        <v>1053682</v>
      </c>
      <c r="G20" s="44" t="n">
        <v>368789</v>
      </c>
      <c r="H20" s="44" t="n">
        <v>684893</v>
      </c>
      <c r="I20" s="43" t="n">
        <v>0.65</v>
      </c>
    </row>
    <row r="21">
      <c r="A21" s="16" t="n">
        <v>8</v>
      </c>
      <c r="B21" s="48" t="n">
        <v>100</v>
      </c>
      <c r="C21" s="48" t="n">
        <v>72000</v>
      </c>
      <c r="D21" s="48" t="n">
        <v>69000</v>
      </c>
      <c r="E21" s="50" t="n">
        <v>0.958</v>
      </c>
      <c r="F21" s="40" t="n">
        <v>1085292</v>
      </c>
      <c r="G21" s="40" t="n">
        <v>379852</v>
      </c>
      <c r="H21" s="40" t="n">
        <v>705440</v>
      </c>
      <c r="I21" s="49" t="n">
        <v>0.65</v>
      </c>
    </row>
    <row r="22">
      <c r="A22" s="12" t="n">
        <v>9</v>
      </c>
      <c r="B22" s="47" t="n">
        <v>100</v>
      </c>
      <c r="C22" s="47" t="n">
        <v>72000</v>
      </c>
      <c r="D22" s="47" t="n">
        <v>70000</v>
      </c>
      <c r="E22" s="50" t="n">
        <v>0.972</v>
      </c>
      <c r="F22" s="44" t="n">
        <v>1117851</v>
      </c>
      <c r="G22" s="44" t="n">
        <v>391248</v>
      </c>
      <c r="H22" s="44" t="n">
        <v>726603</v>
      </c>
      <c r="I22" s="43" t="n">
        <v>0.65</v>
      </c>
    </row>
    <row r="23">
      <c r="A23" s="16" t="n">
        <v>10</v>
      </c>
      <c r="B23" s="48" t="n">
        <v>100</v>
      </c>
      <c r="C23" s="48" t="n">
        <v>72000</v>
      </c>
      <c r="D23" s="48" t="n">
        <v>70000</v>
      </c>
      <c r="E23" s="50" t="n">
        <v>0.972</v>
      </c>
      <c r="F23" s="40" t="n">
        <v>1151386</v>
      </c>
      <c r="G23" s="40" t="n">
        <v>402985</v>
      </c>
      <c r="H23" s="40" t="n">
        <v>748401</v>
      </c>
      <c r="I23" s="49" t="n">
        <v>0.65</v>
      </c>
    </row>
    <row r="25">
      <c r="A25" s="51" t="inlineStr">
        <is>
          <t>Green cells in Utilization % = at or above 85% target threshold</t>
        </is>
      </c>
    </row>
  </sheetData>
  <mergeCells count="4">
    <mergeCell ref="A1:I1"/>
    <mergeCell ref="A12:I12"/>
    <mergeCell ref="A25:I25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2026-09-07T10:06:40Z</dcterms:created>
  <dcterms:modified xmlns:dcterms="http://purl.org/dc/terms/" xmlns:xsi="http://www.w3.org/2001/XMLSchema-instance" xsi:type="dcterms:W3CDTF">2026-09-07T10:06:40Z</dcterms:modified>
</cp:coreProperties>
</file>